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印尼（周）" sheetId="2" r:id="rId5"/>
    <sheet name="中东（周）" sheetId="3" r:id="rId6"/>
    <sheet name="南亚（周）" sheetId="4" r:id="rId7"/>
    <sheet name="土耳其（周） " sheetId="5" r:id="rId8"/>
    <sheet name="更新后的薪资表展示格式 （南亚中东印尼统一即可）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9f92ccb2-d447-4c19-9335-83fd19f036bb}">
      <text>
        <r>
          <t>（60%）取整</t>
        </r>
      </text>
    </comment>
    <comment ref="F2" authorId="0" shapeId="0" xr:uid="{fe7b1fa2-5ff1-45ea-b85d-6468d38293d7}">
      <text>
        <r>
          <t xml:space="preserve">（5%-15%）新增成本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d1b72ac7-a708-472b-b001-a81814468047}">
      <text>
        <r>
          <t xml:space="preserve">（5%-15%）新增成本
</t>
        </r>
      </text>
    </comment>
    <comment ref="D2" authorId="0" shapeId="0" xr:uid="{e95e69f9-22bb-4c34-b482-c77674e8849a}">
      <text>
        <r>
          <t>（60%）取整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<sst xmlns="http://schemas.openxmlformats.org/spreadsheetml/2006/main" count="4" uniqueCount="4">
  <si>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  </t>
  </si>
  <si>
    <t/>
    <r>
      <rPr>
        <b/>
        <sz val="9.75"/>
        <color rgb="FFF54A45"/>
        <rFont val="Calibri"/>
        <family val="2"/>
      </rPr>
      <t xml:space="preserve">1. 用户--主播收礼1:1，用户送出1金币礼物，主播收到1红钻
2. 主播完成对应档位流水后，若当周同时完成该档位时长要求 则可以获得该档位奖励钻石 ； 若完成了该档位流水 但是未完成时长要求</t>
    </r>
    <r>
      <rPr>
        <b/>
        <sz val="9.75"/>
        <color rgb="FF6425D0"/>
        <rFont val="Calibri"/>
        <family val="2"/>
      </rPr>
      <t xml:space="preserve"> 则奖励钻石扣减25%
</t>
    </r>
    <r>
      <rPr>
        <b/>
        <sz val="9.75"/>
        <color rgb="FFF54A45"/>
        <rFont val="Calibri"/>
        <family val="2"/>
      </rPr>
      <t xml:space="preserve">3. 薪资计算的时长没变，印尼区域仍然是周一00:00-周日24:00 utc+7
4. 工会长的薪资计算逻辑为 工会全部主播在薪资计算时间范围内的总红钻收礼流水 （不含后台奖励 不含他人给予的红钻转帐，仅记录红钻收礼！！） *对应档位的分成
如： 我的工会礼物红钻流水为1,200,000，我的分成比为26%，那么我的薪资为：1,200,000*26% 红钻</t>
    </r>
  </si>
  <si>
    <t/>
    <r>
      <rPr>
        <b/>
        <sz val="9.75"/>
        <color rgb="FFF54A45"/>
        <rFont val="Calibri"/>
        <family val="2"/>
      </rPr>
      <t xml:space="preserve">1. 用户--主播收礼1:1，用户送出1金币礼物，主播收到1红钻
2. 主播完成对应档位流水后，若当周同时完成该档位时长要求 则可以获得该档位奖励钻石 ； 若完成了该档位流水 但是未完成时长要求 </t>
    </r>
    <r>
      <rPr>
        <b/>
        <sz val="9.75"/>
        <color rgb="FF6425D0"/>
        <rFont val="Calibri"/>
        <family val="2"/>
      </rPr>
      <t xml:space="preserve">则奖励钻石扣减30%
</t>
    </r>
    <r>
      <rPr>
        <b/>
        <sz val="9.75"/>
        <color rgb="FFF54A45"/>
        <rFont val="Calibri"/>
        <family val="2"/>
      </rPr>
      <t xml:space="preserve">3. 薪资计算的时长没变，中东区域仍然是周一00:00-周日24:00 utc+3
4. 工会长的薪资计算逻辑为 工会全部主播在薪资计算时间范围内的总红钻收礼流水 （不含后台奖励 不含他人给予的红钻转帐，仅记录红钻收礼！！） *对应档位的分成
如： 我的工会礼物红钻流水为1,200,000，我的分成比为26%，那么我的薪资为：1,200,000*26% 红钻</t>
    </r>
  </si>
  <si>
    <t/>
    <r>
      <rPr>
        <b/>
        <sz val="9.75"/>
        <color rgb="FFF54A45"/>
        <rFont val="Calibri"/>
        <family val="2"/>
      </rPr>
      <t xml:space="preserve">1. 用户--主播收礼1:1，用户送出1金币礼物，主播收到1红钻
2. 奖励红钻的计算方式为：主播完成对应档位</t>
    </r>
    <r>
      <rPr>
        <b/>
        <sz val="9.75"/>
        <color rgb="FF380D82"/>
        <rFont val="Calibri"/>
        <family val="2"/>
      </rPr>
      <t>房间流水</t>
    </r>
    <r>
      <rPr>
        <b/>
        <sz val="9.75"/>
        <color rgb="FFF54A45"/>
        <rFont val="Calibri"/>
        <family val="2"/>
      </rPr>
      <t xml:space="preserve">后，若当周同时完成该档位时长要求 则可以获得该档位奖励钻石 ； 若完成了该档位流水 但是未完成时长要求</t>
    </r>
    <r>
      <rPr>
        <b/>
        <sz val="9.75"/>
        <color rgb="FF380D82"/>
        <rFont val="Calibri"/>
        <family val="2"/>
      </rPr>
      <t xml:space="preserve"> 则不给奖励钻石
</t>
    </r>
    <r>
      <rPr>
        <b/>
        <sz val="9.75"/>
        <color rgb="FFF54A45"/>
        <rFont val="Calibri"/>
        <family val="2"/>
      </rPr>
      <t xml:space="preserve">3. 薪资计算的时长没变，南亚区域仍然是周一00:00-周日24:00 utc+5.5
4. 工会长的薪资计算逻辑为 工会全部主播在薪资计算时间范围内的总红钻收礼流水 （不含后台奖励 不含他人给予的红钻转帐，仅记录红钻收礼！！） *对应档位的分成
如： 我的工会礼物红钻流水为1,200,000，我的分成比为26%，那么我的薪资为：1,200,000*26% 红钻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</si>
</sst>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"/>
    <numFmt numFmtId="165" formatCode="#,##0"/>
    <numFmt numFmtId="166" formatCode="0.0"/>
    <numFmt numFmtId="167" formatCode="$#,##0.00"/>
    <numFmt numFmtId="168" formatCode="#,##0"/>
    <numFmt numFmtId="169" formatCode="0%"/>
    <numFmt numFmtId="170" formatCode="#,##0"/>
    <numFmt numFmtId="171" formatCode="#,##0"/>
    <numFmt numFmtId="172" formatCode="0.00"/>
    <numFmt numFmtId="173" formatCode="$#,##0.0"/>
    <numFmt numFmtId="174" formatCode="0%"/>
    <numFmt numFmtId="175" formatCode="0.00%"/>
  </numFmts>
  <fonts count="18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10.5"/>
      <color rgb="FF20124D"/>
      <name val="Calibri"/>
      <family val="2"/>
      <scheme val="minor"/>
    </font>
    <font>
      <b val="true"/>
      <sz val="10.5"/>
      <color rgb="FF741B47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24"/>
      <color rgb="FFFFFFFF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5F6F2"/>
        <bgColor/>
      </patternFill>
    </fill>
    <fill>
      <patternFill patternType="solid">
        <fgColor rgb="FFD9D2E9"/>
        <bgColor/>
      </patternFill>
    </fill>
    <fill>
      <patternFill patternType="solid">
        <fgColor rgb="FFD9D2E9"/>
        <bgColor/>
      </patternFill>
    </fill>
    <fill>
      <patternFill patternType="solid">
        <fgColor rgb="FFEAD1DC"/>
        <bgColor/>
      </patternFill>
    </fill>
    <fill>
      <patternFill patternType="solid">
        <fgColor rgb="FFD9D2E9"/>
        <bgColor/>
      </patternFill>
    </fill>
    <fill>
      <patternFill patternType="solid">
        <fgColor rgb="FF6425D0"/>
        <bgColor/>
      </patternFill>
    </fill>
    <fill>
      <patternFill patternType="solid">
        <fgColor rgb="FFE1EAFF"/>
        <bgColor/>
      </patternFill>
    </fill>
    <fill>
      <patternFill patternType="solid">
        <fgColor rgb="FF6425D0"/>
        <bgColor/>
      </patternFill>
    </fill>
    <fill>
      <patternFill patternType="solid">
        <fgColor rgb="FF6425D0"/>
        <bgColor/>
      </patternFill>
    </fill>
    <fill>
      <patternFill patternType="solid">
        <fgColor rgb="FF6425D0"/>
        <bgColor/>
      </patternFill>
    </fill>
    <fill>
      <patternFill patternType="solid">
        <fgColor rgb="FF6425D0"/>
        <bgColor/>
      </patternFill>
    </fill>
    <fill>
      <patternFill patternType="solid">
        <fgColor rgb="FFD9D2E9"/>
        <bgColor/>
      </patternFill>
    </fill>
    <fill>
      <patternFill patternType="solid">
        <fgColor rgb="FF8E7CC3"/>
        <bgColor/>
      </patternFill>
    </fill>
    <fill>
      <patternFill patternType="solid">
        <fgColor rgb="FF741B47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495700"/>
        <bgColor/>
      </patternFill>
    </fill>
    <fill>
      <patternFill patternType="solid">
        <fgColor rgb="FF7A0F4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3" numFmtId="164" xfId="0">
      <alignment horizontal="center" vertical="center"/>
    </xf>
    <xf applyAlignment="true" applyBorder="false" applyFill="true" applyFont="true" applyNumberFormat="false" applyProtection="false" borderId="5" fillId="2" fontId="4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true" applyProtection="false" borderId="7" fillId="0" fontId="1" numFmtId="166" xfId="0">
      <alignment horizontal="center" vertical="center"/>
    </xf>
    <xf applyAlignment="true" applyBorder="false" applyFill="false" applyFont="true" applyNumberFormat="true" applyProtection="false" borderId="8" fillId="0" fontId="3" numFmtId="167" xfId="0">
      <alignment horizontal="center" vertical="center"/>
    </xf>
    <xf applyAlignment="true" applyBorder="false" applyFill="true" applyFont="true" applyNumberFormat="true" applyProtection="false" borderId="9" fillId="3" fontId="5" numFmtId="168" xfId="0">
      <alignment horizontal="center" vertical="bottom" wrapText="true"/>
    </xf>
    <xf applyAlignment="true" applyBorder="false" applyFill="true" applyFont="true" applyNumberFormat="false" applyProtection="false" borderId="10" fillId="4" fontId="5" numFmtId="0" xfId="0">
      <alignment horizontal="center" vertical="bottom" wrapText="true"/>
    </xf>
    <xf applyAlignment="true" applyBorder="false" applyFill="true" applyFont="true" applyNumberFormat="true" applyProtection="false" borderId="11" fillId="5" fontId="6" numFmtId="169" xfId="0">
      <alignment horizontal="center" vertical="bottom" wrapText="true"/>
    </xf>
    <xf applyAlignment="true" applyBorder="false" applyFill="true" applyFont="true" applyNumberFormat="true" applyProtection="false" borderId="12" fillId="6" fontId="5" numFmtId="170" xfId="0">
      <alignment horizontal="center" vertical="bottom" wrapText="true"/>
    </xf>
    <xf applyAlignment="true" applyBorder="false" applyFill="true" applyFont="true" applyNumberFormat="false" applyProtection="false" borderId="13" fillId="7" fontId="7" numFmtId="0" xfId="0">
      <alignment horizontal="center" vertical="center" wrapText="true"/>
    </xf>
    <xf applyAlignment="true" applyBorder="false" applyFill="true" applyFont="true" applyNumberFormat="false" applyProtection="false" borderId="14" fillId="8" fontId="8" numFmtId="0" xfId="0">
      <alignment horizontal="center" vertical="center" wrapText="true"/>
    </xf>
    <xf applyAlignment="true" applyBorder="false" applyFill="true" applyFont="true" applyNumberFormat="false" applyProtection="false" borderId="15" fillId="9" fontId="7" numFmtId="0" xfId="0">
      <alignment horizontal="center" vertical="center" wrapText="true"/>
    </xf>
    <xf applyAlignment="true" applyBorder="false" applyFill="true" applyFont="true" applyNumberFormat="false" applyProtection="false" borderId="16" fillId="10" fontId="9" numFmtId="0" xfId="0">
      <alignment horizontal="left" vertical="center" wrapText="true"/>
    </xf>
    <xf applyAlignment="true" applyBorder="false" applyFill="true" applyFont="true" applyNumberFormat="false" applyProtection="false" borderId="17" fillId="11" fontId="10" numFmtId="0" xfId="0">
      <alignment horizontal="center" vertical="center" wrapText="true"/>
    </xf>
    <xf applyAlignment="true" applyBorder="false" applyFill="true" applyFont="true" applyNumberFormat="false" applyProtection="false" borderId="18" fillId="12" fontId="2" numFmtId="0" xfId="0">
      <alignment horizontal="right" vertical="center" wrapText="true"/>
    </xf>
    <xf applyAlignment="true" applyBorder="false" applyFill="false" applyFont="true" applyNumberFormat="false" applyProtection="false" borderId="19" fillId="0" fontId="11" numFmtId="0" xfId="0">
      <alignment vertical="center"/>
    </xf>
    <xf applyAlignment="true" applyBorder="false" applyFill="true" applyFont="true" applyNumberFormat="false" applyProtection="false" borderId="20" fillId="13" fontId="5" numFmtId="0" xfId="0">
      <alignment horizontal="center" vertical="bottom" wrapText="true"/>
    </xf>
    <xf applyAlignment="true" applyBorder="false" applyFill="true" applyFont="true" applyNumberFormat="false" applyProtection="false" borderId="21" fillId="14" fontId="12" numFmtId="0" xfId="0">
      <alignment horizontal="center" vertical="bottom" wrapText="true"/>
    </xf>
    <xf applyAlignment="true" applyBorder="false" applyFill="true" applyFont="true" applyNumberFormat="false" applyProtection="false" borderId="22" fillId="15" fontId="12" numFmtId="0" xfId="0">
      <alignment horizontal="center" vertical="bottom" wrapText="true"/>
    </xf>
    <xf applyAlignment="true" applyBorder="false" applyFill="true" applyFont="true" applyNumberFormat="true" applyProtection="false" borderId="23" fillId="16" fontId="3" numFmtId="171" xfId="0">
      <alignment horizontal="center" vertical="center"/>
    </xf>
    <xf applyAlignment="true" applyBorder="false" applyFill="false" applyFont="true" applyNumberFormat="true" applyProtection="false" borderId="24" fillId="0" fontId="1" numFmtId="172" xfId="0">
      <alignment horizontal="center" vertical="center"/>
    </xf>
    <xf applyAlignment="true" applyBorder="false" applyFill="true" applyFont="true" applyNumberFormat="true" applyProtection="false" borderId="25" fillId="17" fontId="3" numFmtId="173" xfId="0">
      <alignment horizontal="center" vertical="center"/>
    </xf>
    <xf applyAlignment="true" applyBorder="false" applyFill="false" applyFont="true" applyNumberFormat="false" applyProtection="false" borderId="26" fillId="0" fontId="13" numFmtId="0" xfId="0">
      <alignment horizontal="center" vertical="bottom" wrapText="true"/>
    </xf>
    <xf applyAlignment="true" applyBorder="false" applyFill="false" applyFont="true" applyNumberFormat="true" applyProtection="false" borderId="27" fillId="0" fontId="13" numFmtId="174" xfId="0">
      <alignment horizontal="center" vertical="bottom" wrapText="true"/>
    </xf>
    <xf applyAlignment="true" applyBorder="false" applyFill="false" applyFont="true" applyNumberFormat="false" applyProtection="false" borderId="28" fillId="0" fontId="14" numFmtId="0" xfId="0">
      <alignment vertical="center"/>
    </xf>
    <xf applyAlignment="true" applyBorder="false" applyFill="true" applyFont="true" applyNumberFormat="false" applyProtection="false" borderId="29" fillId="18" fontId="13" numFmtId="0" xfId="0">
      <alignment horizontal="center" vertical="bottom" wrapText="true"/>
    </xf>
    <xf applyAlignment="true" applyBorder="false" applyFill="false" applyFont="true" applyNumberFormat="true" applyProtection="false" borderId="30" fillId="0" fontId="11" numFmtId="175" xfId="0">
      <alignment vertical="center"/>
    </xf>
    <xf applyAlignment="true" applyBorder="false" applyFill="true" applyFont="true" applyNumberFormat="false" applyProtection="false" borderId="31" fillId="19" fontId="15" numFmtId="0" xfId="0">
      <alignment horizontal="center" vertical="center"/>
    </xf>
    <xf applyAlignment="true" applyBorder="false" applyFill="true" applyFont="true" applyNumberFormat="false" applyProtection="false" borderId="32" fillId="20" fontId="7" numFmtId="0" xfId="0">
      <alignment vertical="bottom"/>
    </xf>
    <xf applyAlignment="true" applyBorder="false" applyFill="false" applyFont="true" applyNumberFormat="false" applyProtection="false" borderId="33" fillId="0" fontId="16" numFmtId="0" xfId="0">
      <alignment vertical="bottom"/>
    </xf>
    <xf applyAlignment="true" applyBorder="false" applyFill="false" applyFont="true" applyNumberFormat="false" applyProtection="false" borderId="34" fillId="0" fontId="11" numFmtId="0" xfId="0">
      <alignment vertical="center" wrapText="true"/>
    </xf>
    <xf applyAlignment="true" applyBorder="false" applyFill="true" applyFont="true" applyNumberFormat="false" applyProtection="false" borderId="35" fillId="21" fontId="7" numFmtId="0" xfId="0">
      <alignment vertical="bottom"/>
    </xf>
    <xf applyAlignment="true" applyBorder="false" applyFill="false" applyFont="true" applyNumberFormat="false" applyProtection="false" borderId="36" fillId="0" fontId="16" numFmtId="0" xfId="0">
      <alignment vertical="center"/>
    </xf>
    <xf applyAlignment="true" applyBorder="false" applyFill="true" applyFont="true" applyNumberFormat="false" applyProtection="false" borderId="37" fillId="22" fontId="11" numFmtId="0" xfId="0">
      <alignment vertical="center"/>
    </xf>
    <xf applyAlignment="true" applyBorder="false" applyFill="false" applyFont="true" applyNumberFormat="false" applyProtection="false" borderId="38" fillId="0" fontId="16" numFmtId="0" xfId="0">
      <alignment vertical="center" wrapText="true"/>
    </xf>
    <xf applyAlignment="true" applyBorder="false" applyFill="true" applyFont="true" applyNumberFormat="false" applyProtection="false" borderId="39" fillId="23" fontId="13" numFmtId="0" xfId="0">
      <alignment vertical="center" wrapText="true"/>
    </xf>
    <xf applyAlignment="true" applyBorder="false" applyFill="true" applyFont="true" applyNumberFormat="false" applyProtection="false" borderId="40" fillId="24" fontId="17" numFmtId="0" xfId="0">
      <alignment vertical="center" wrapText="true"/>
    </xf>
    <xf applyAlignment="true" applyBorder="false" applyFill="true" applyFont="true" applyNumberFormat="false" applyProtection="false" borderId="41" fillId="25" fontId="1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0</xdr:row>
      <xdr:rowOff>38100</xdr:rowOff>
    </xdr:from>
    <xdr:to>
      <xdr:col>9</xdr:col>
      <xdr:colOff>-38100</xdr:colOff>
      <xdr:row>1</xdr:row>
      <xdr:rowOff>-38100</xdr:rowOff>
    </xdr:to>
    <xdr:pic>
      <xdr:nvPicPr>
        <xdr:cNvPr id="2" name="Picture 2" descr="iTOUo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0</xdr:row>
      <xdr:rowOff>38100</xdr:rowOff>
    </xdr:from>
    <xdr:to>
      <xdr:col>9</xdr:col>
      <xdr:colOff>-38100</xdr:colOff>
      <xdr:row>1</xdr:row>
      <xdr:rowOff>-38100</xdr:rowOff>
    </xdr:to>
    <xdr:pic>
      <xdr:nvPicPr>
        <xdr:cNvPr id="2" name="Picture 2" descr="YmJXo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1.vml" Type="http://schemas.openxmlformats.org/officeDocument/2006/relationships/vmlDrawing"></Relationship><Relationship Id="rId3" Target="../comments1.xml" Type="http://schemas.openxmlformats.org/officeDocument/2006/relationships/comments"></Relationship><Relationship Id="rId4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drawings/vmlDrawing2.vml" Type="http://schemas.openxmlformats.org/officeDocument/2006/relationships/vmlDrawing"></Relationship><Relationship Id="rId3" Target="../comments2.xml" Type="http://schemas.openxmlformats.org/officeDocument/2006/relationships/comments"></Relationship><Relationship Id="rId4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5" min="5" style="0" width="14"/>
    <col collapsed="false" customWidth="true" hidden="false" max="6" min="6" style="0" width="14"/>
  </cols>
  <sheetData>
    <row customHeight="true" ht="111" r="1">
      <c r="A1" s="17" t="str">
        <v>半月政策</v>
      </c>
      <c r="B1" s="17"/>
      <c r="C1" s="17"/>
      <c r="D1" s="17"/>
      <c r="E1" s="17"/>
      <c r="F1" s="17"/>
      <c r="G1" s="17"/>
      <c r="H1" s="17"/>
      <c r="I1" s="18"/>
      <c r="J1" s="16" t="str" xml:space="preserve">
        <v>萨希  </v>
      </c>
    </row>
    <row r="2">
      <c r="A2" s="13" t="str">
        <v>水平</v>
      </c>
      <c r="B2" s="13" t="str">
        <v>钻石目标</v>
      </c>
      <c r="C2" s="13" t="str">
        <v>主播收到礼物钻石流水</v>
      </c>
      <c r="D2" s="13" t="str">
        <v>主播薪资$</v>
      </c>
      <c r="E2" s="13" t="str">
        <v>奖励钻石</v>
      </c>
      <c r="F2" s="13" t="str">
        <v>时长奖励$</v>
      </c>
      <c r="G2" s="14" t="str">
        <v>E-Day</v>
      </c>
      <c r="H2" s="14" t="str">
        <v>Hour</v>
      </c>
      <c r="I2" s="15" t="str">
        <v>30000 红钻 =1 美金</v>
      </c>
      <c r="J2" s="15"/>
    </row>
    <row r="3">
      <c r="A3" s="3">
        <v>1</v>
      </c>
      <c r="B3" s="6">
        <v>30000</v>
      </c>
      <c r="C3" s="4">
        <v>30000</v>
      </c>
      <c r="D3" s="7">
        <f>C3/30000</f>
      </c>
      <c r="E3" s="4">
        <v>60000</v>
      </c>
      <c r="F3" s="8">
        <v>2</v>
      </c>
      <c r="G3" s="3">
        <v>3</v>
      </c>
      <c r="H3" s="3">
        <v>6</v>
      </c>
      <c r="I3" s="5" t="s">
        <v>1</v>
      </c>
      <c r="J3" s="5"/>
    </row>
    <row r="4">
      <c r="A4" s="3">
        <v>2</v>
      </c>
      <c r="B4" s="6">
        <v>75000</v>
      </c>
      <c r="C4" s="4">
        <v>75000</v>
      </c>
      <c r="D4" s="7">
        <f>C4/30000</f>
      </c>
      <c r="E4" s="4">
        <v>135000</v>
      </c>
      <c r="F4" s="8">
        <v>4.5</v>
      </c>
      <c r="G4" s="3">
        <v>3</v>
      </c>
      <c r="H4" s="3">
        <v>6</v>
      </c>
      <c r="I4" s="5"/>
      <c r="J4" s="5"/>
    </row>
    <row r="5">
      <c r="A5" s="3">
        <v>3</v>
      </c>
      <c r="B5" s="6">
        <v>150000</v>
      </c>
      <c r="C5" s="4">
        <v>150000</v>
      </c>
      <c r="D5" s="7">
        <f>C5/30000</f>
      </c>
      <c r="E5" s="4">
        <v>285000</v>
      </c>
      <c r="F5" s="8">
        <v>9.5</v>
      </c>
      <c r="G5" s="3">
        <v>3</v>
      </c>
      <c r="H5" s="3">
        <v>6</v>
      </c>
      <c r="I5" s="5"/>
      <c r="J5" s="5"/>
    </row>
    <row r="6">
      <c r="A6" s="3">
        <v>4</v>
      </c>
      <c r="B6" s="6">
        <v>240000</v>
      </c>
      <c r="C6" s="4">
        <v>240000</v>
      </c>
      <c r="D6" s="7">
        <f>C6/30000</f>
      </c>
      <c r="E6" s="4">
        <v>425000</v>
      </c>
      <c r="F6" s="8">
        <v>14.166666666666666</v>
      </c>
      <c r="G6" s="3">
        <v>3</v>
      </c>
      <c r="H6" s="3">
        <v>6</v>
      </c>
      <c r="I6" s="5"/>
      <c r="J6" s="5"/>
    </row>
    <row r="7">
      <c r="A7" s="3">
        <v>5</v>
      </c>
      <c r="B7" s="6">
        <v>420000</v>
      </c>
      <c r="C7" s="4">
        <v>420000</v>
      </c>
      <c r="D7" s="7">
        <f>C7/30000</f>
      </c>
      <c r="E7" s="4">
        <v>750000</v>
      </c>
      <c r="F7" s="8">
        <v>25</v>
      </c>
      <c r="G7" s="3">
        <v>2</v>
      </c>
      <c r="H7" s="3">
        <v>4</v>
      </c>
      <c r="I7" s="5"/>
      <c r="J7" s="5"/>
    </row>
    <row r="8">
      <c r="A8" s="3">
        <v>6</v>
      </c>
      <c r="B8" s="6">
        <v>600000</v>
      </c>
      <c r="C8" s="4">
        <v>600000</v>
      </c>
      <c r="D8" s="7">
        <f>C8/30000</f>
      </c>
      <c r="E8" s="4">
        <v>1050000</v>
      </c>
      <c r="F8" s="8">
        <v>35</v>
      </c>
      <c r="G8" s="3">
        <v>2</v>
      </c>
      <c r="H8" s="3">
        <v>4</v>
      </c>
      <c r="I8" s="5"/>
      <c r="J8" s="5"/>
    </row>
    <row r="9">
      <c r="A9" s="3">
        <v>7</v>
      </c>
      <c r="B9" s="6">
        <v>900000</v>
      </c>
      <c r="C9" s="4">
        <v>900000</v>
      </c>
      <c r="D9" s="7">
        <f>C9/30000</f>
      </c>
      <c r="E9" s="4">
        <v>1550000</v>
      </c>
      <c r="F9" s="8">
        <v>51.666666666666664</v>
      </c>
      <c r="G9" s="3">
        <v>2</v>
      </c>
      <c r="H9" s="3">
        <v>4</v>
      </c>
      <c r="I9" s="5"/>
      <c r="J9" s="5"/>
    </row>
    <row r="10">
      <c r="A10" s="3">
        <v>8</v>
      </c>
      <c r="B10" s="6">
        <v>1200000</v>
      </c>
      <c r="C10" s="4">
        <v>1200000</v>
      </c>
      <c r="D10" s="7">
        <f>C10/30000</f>
      </c>
      <c r="E10" s="4">
        <v>1950000</v>
      </c>
      <c r="F10" s="8">
        <v>65</v>
      </c>
      <c r="G10" s="3">
        <v>2</v>
      </c>
      <c r="H10" s="3">
        <v>4</v>
      </c>
      <c r="I10" s="5"/>
      <c r="J10" s="5"/>
    </row>
    <row r="11">
      <c r="A11" s="3">
        <v>9</v>
      </c>
      <c r="B11" s="6">
        <v>1800000</v>
      </c>
      <c r="C11" s="4">
        <v>1800000</v>
      </c>
      <c r="D11" s="7">
        <f>C11/30000</f>
      </c>
      <c r="E11" s="4">
        <v>2900000</v>
      </c>
      <c r="F11" s="8">
        <v>96.66666666666667</v>
      </c>
      <c r="G11" s="3">
        <v>2</v>
      </c>
      <c r="H11" s="3">
        <v>4</v>
      </c>
      <c r="I11" s="5"/>
      <c r="J11" s="5"/>
    </row>
    <row r="12">
      <c r="A12" s="3">
        <v>10</v>
      </c>
      <c r="B12" s="6">
        <v>2400000</v>
      </c>
      <c r="C12" s="4">
        <v>2400000</v>
      </c>
      <c r="D12" s="7">
        <f>C12/30000</f>
      </c>
      <c r="E12" s="4">
        <v>3850000</v>
      </c>
      <c r="F12" s="8">
        <v>128.33333333333334</v>
      </c>
      <c r="G12" s="3">
        <v>2</v>
      </c>
      <c r="H12" s="3">
        <v>4</v>
      </c>
      <c r="I12" s="5"/>
      <c r="J12" s="5"/>
    </row>
    <row r="13">
      <c r="A13" s="3">
        <v>11</v>
      </c>
      <c r="B13" s="6">
        <v>3600000</v>
      </c>
      <c r="C13" s="4">
        <v>3600000</v>
      </c>
      <c r="D13" s="7">
        <f>C13/30000</f>
      </c>
      <c r="E13" s="4">
        <v>5800000</v>
      </c>
      <c r="F13" s="8">
        <v>193.33333333333334</v>
      </c>
      <c r="G13" s="3">
        <v>2</v>
      </c>
      <c r="H13" s="3">
        <v>4</v>
      </c>
      <c r="I13" s="5"/>
      <c r="J13" s="5"/>
    </row>
    <row r="14">
      <c r="A14" s="3">
        <v>12</v>
      </c>
      <c r="B14" s="6">
        <v>4800000</v>
      </c>
      <c r="C14" s="4">
        <v>4800000</v>
      </c>
      <c r="D14" s="7">
        <f>C14/30000</f>
      </c>
      <c r="E14" s="4">
        <v>7800000</v>
      </c>
      <c r="F14" s="8">
        <v>260</v>
      </c>
      <c r="G14" s="3">
        <v>2</v>
      </c>
      <c r="H14" s="3">
        <v>4</v>
      </c>
      <c r="I14" s="5"/>
      <c r="J14" s="5"/>
    </row>
    <row r="15">
      <c r="A15" s="3">
        <v>13</v>
      </c>
      <c r="B15" s="6">
        <v>6000000</v>
      </c>
      <c r="C15" s="4">
        <v>6000000</v>
      </c>
      <c r="D15" s="7">
        <f>C15/30000</f>
      </c>
      <c r="E15" s="4">
        <v>9500000</v>
      </c>
      <c r="F15" s="8">
        <v>316.6666666666667</v>
      </c>
      <c r="G15" s="3">
        <v>0</v>
      </c>
      <c r="H15" s="3">
        <v>0</v>
      </c>
      <c r="I15" s="5"/>
      <c r="J15" s="5"/>
    </row>
    <row r="16">
      <c r="A16" s="3">
        <v>14</v>
      </c>
      <c r="B16" s="6">
        <v>9000000</v>
      </c>
      <c r="C16" s="4">
        <v>9000000</v>
      </c>
      <c r="D16" s="7">
        <f>C16/30000</f>
      </c>
      <c r="E16" s="4">
        <v>14500000</v>
      </c>
      <c r="F16" s="8">
        <v>483.3333333333333</v>
      </c>
      <c r="G16" s="3">
        <v>0</v>
      </c>
      <c r="H16" s="3">
        <v>0</v>
      </c>
      <c r="I16" s="5"/>
      <c r="J16" s="5"/>
    </row>
    <row r="17">
      <c r="A17" s="3">
        <v>15</v>
      </c>
      <c r="B17" s="6">
        <v>15000000</v>
      </c>
      <c r="C17" s="4">
        <v>15000000</v>
      </c>
      <c r="D17" s="7">
        <f>C17/30000</f>
      </c>
      <c r="E17" s="4">
        <v>23000000</v>
      </c>
      <c r="F17" s="8">
        <v>766.6666666666666</v>
      </c>
      <c r="G17" s="3">
        <v>0</v>
      </c>
      <c r="H17" s="3">
        <v>0</v>
      </c>
      <c r="I17" s="5"/>
      <c r="J17" s="5"/>
    </row>
    <row r="18">
      <c r="A18" s="3">
        <v>16</v>
      </c>
      <c r="B18" s="6">
        <v>18000000</v>
      </c>
      <c r="C18" s="4">
        <v>18000000</v>
      </c>
      <c r="D18" s="7">
        <f>C18/30000</f>
      </c>
      <c r="E18" s="4">
        <v>27500000</v>
      </c>
      <c r="F18" s="8">
        <v>916.6666666666666</v>
      </c>
      <c r="G18" s="3">
        <v>0</v>
      </c>
      <c r="H18" s="3">
        <v>0</v>
      </c>
      <c r="I18" s="5"/>
      <c r="J18" s="5"/>
    </row>
    <row r="19">
      <c r="A19" s="3">
        <v>17</v>
      </c>
      <c r="B19" s="6">
        <v>21000000</v>
      </c>
      <c r="C19" s="4">
        <v>21000000</v>
      </c>
      <c r="D19" s="7">
        <f>C19/30000</f>
      </c>
      <c r="E19" s="4">
        <v>32000000</v>
      </c>
      <c r="F19" s="8">
        <v>1066.6666666666667</v>
      </c>
      <c r="G19" s="3">
        <v>0</v>
      </c>
      <c r="H19" s="3">
        <v>0</v>
      </c>
      <c r="I19" s="5"/>
      <c r="J19" s="5"/>
    </row>
    <row r="20">
      <c r="A20" s="3">
        <v>18</v>
      </c>
      <c r="B20" s="6">
        <v>30000000</v>
      </c>
      <c r="C20" s="4">
        <v>30000000</v>
      </c>
      <c r="D20" s="7">
        <f>C20/30000</f>
      </c>
      <c r="E20" s="4">
        <v>45000000</v>
      </c>
      <c r="F20" s="8">
        <v>1500</v>
      </c>
      <c r="G20" s="3">
        <v>0</v>
      </c>
      <c r="H20" s="3">
        <v>0</v>
      </c>
      <c r="I20" s="5"/>
      <c r="J20" s="5"/>
    </row>
    <row r="21">
      <c r="A21" s="3">
        <v>19</v>
      </c>
      <c r="B21" s="6">
        <v>45000000</v>
      </c>
      <c r="C21" s="4">
        <v>45000000</v>
      </c>
      <c r="D21" s="7">
        <f>C21/30000</f>
      </c>
      <c r="E21" s="4">
        <v>68500000</v>
      </c>
      <c r="F21" s="8">
        <v>2283.3333333333335</v>
      </c>
      <c r="G21" s="3">
        <v>0</v>
      </c>
      <c r="H21" s="3">
        <v>0</v>
      </c>
      <c r="I21" s="5"/>
      <c r="J21" s="5"/>
    </row>
    <row r="22">
      <c r="A22" s="3">
        <v>20</v>
      </c>
      <c r="B22" s="6">
        <v>60000000</v>
      </c>
      <c r="C22" s="4">
        <v>60000000</v>
      </c>
      <c r="D22" s="7">
        <f>C22/30000</f>
      </c>
      <c r="E22" s="4">
        <v>75000000</v>
      </c>
      <c r="F22" s="8">
        <v>2500</v>
      </c>
      <c r="G22" s="3">
        <v>0</v>
      </c>
      <c r="H22" s="3">
        <v>0</v>
      </c>
      <c r="I22" s="5"/>
      <c r="J22" s="5"/>
    </row>
    <row r="23">
      <c r="A23" s="3">
        <v>21</v>
      </c>
      <c r="B23" s="6">
        <v>75000000</v>
      </c>
      <c r="C23" s="4">
        <v>75000000</v>
      </c>
      <c r="D23" s="7">
        <f>C23/30000</f>
      </c>
      <c r="E23" s="4">
        <v>100000000</v>
      </c>
      <c r="F23" s="8">
        <v>3333.3333333333335</v>
      </c>
      <c r="G23" s="3">
        <v>0</v>
      </c>
      <c r="H23" s="3">
        <v>0</v>
      </c>
      <c r="I23" s="5"/>
      <c r="J23" s="5"/>
    </row>
    <row r="24">
      <c r="A24" s="3">
        <v>22</v>
      </c>
      <c r="B24" s="6">
        <v>90000000</v>
      </c>
      <c r="C24" s="4">
        <v>90000000</v>
      </c>
      <c r="D24" s="7">
        <f>C24/30000</f>
      </c>
      <c r="E24" s="4">
        <v>120000000</v>
      </c>
      <c r="F24" s="8">
        <v>4000</v>
      </c>
      <c r="G24" s="3">
        <v>0</v>
      </c>
      <c r="H24" s="3">
        <v>0</v>
      </c>
      <c r="I24" s="5"/>
      <c r="J24" s="5"/>
    </row>
    <row r="25">
      <c r="A25" s="3">
        <v>23</v>
      </c>
      <c r="B25" s="6">
        <v>120000000</v>
      </c>
      <c r="C25" s="4">
        <v>120000000</v>
      </c>
      <c r="D25" s="7">
        <f>C25/30000</f>
      </c>
      <c r="E25" s="4">
        <v>150000000</v>
      </c>
      <c r="F25" s="8">
        <v>5000</v>
      </c>
      <c r="G25" s="3">
        <v>0</v>
      </c>
      <c r="H25" s="3">
        <v>0</v>
      </c>
      <c r="I25" s="5"/>
      <c r="J25" s="5"/>
    </row>
    <row r="26">
      <c r="A26" s="3">
        <v>24</v>
      </c>
      <c r="B26" s="6">
        <v>150000000</v>
      </c>
      <c r="C26" s="4">
        <v>150000000</v>
      </c>
      <c r="D26" s="7">
        <f>C26/30000</f>
      </c>
      <c r="E26" s="4">
        <v>180000000</v>
      </c>
      <c r="F26" s="8">
        <v>6000</v>
      </c>
      <c r="G26" s="3">
        <v>0</v>
      </c>
      <c r="H26" s="3">
        <v>0</v>
      </c>
      <c r="I26" s="5"/>
      <c r="J26" s="5"/>
    </row>
    <row r="27">
      <c r="B27" s="1"/>
    </row>
    <row r="28">
      <c r="A28" s="19" t="str">
        <v>工会长薪资</v>
      </c>
      <c r="B28" s="1"/>
    </row>
    <row r="29">
      <c r="A29" s="21" t="str">
        <v>整个工会流水区间范围</v>
      </c>
      <c r="B29" s="21"/>
      <c r="C29" s="22" t="str">
        <v>返点</v>
      </c>
    </row>
    <row r="30">
      <c r="A30" s="20">
        <v>0</v>
      </c>
      <c r="B30" s="12">
        <v>1000000</v>
      </c>
      <c r="C30" s="11">
        <v>0.24</v>
      </c>
    </row>
    <row r="31">
      <c r="A31" s="9">
        <v>1000001</v>
      </c>
      <c r="B31" s="12">
        <v>5000000</v>
      </c>
      <c r="C31" s="11">
        <v>0.26</v>
      </c>
    </row>
    <row r="32">
      <c r="A32" s="9">
        <v>5000001</v>
      </c>
      <c r="B32" s="12">
        <v>10000000</v>
      </c>
      <c r="C32" s="11">
        <v>0.28</v>
      </c>
    </row>
    <row r="33">
      <c r="A33" s="9">
        <v>10000001</v>
      </c>
      <c r="B33" s="12">
        <v>25000001</v>
      </c>
      <c r="C33" s="11">
        <v>0.3</v>
      </c>
    </row>
    <row r="34">
      <c r="A34" s="9">
        <v>25000001</v>
      </c>
      <c r="B34" s="12">
        <v>50000000</v>
      </c>
      <c r="C34" s="11">
        <v>0.32</v>
      </c>
    </row>
    <row r="35">
      <c r="A35" s="9">
        <v>50000001</v>
      </c>
      <c r="B35" s="10" t="str">
        <v>-</v>
      </c>
      <c r="C35" s="11">
        <v>0.34</v>
      </c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</sheetData>
  <mergeCells>
    <mergeCell ref="A1:H1"/>
    <mergeCell ref="I2:J2"/>
    <mergeCell ref="I3:J26"/>
    <mergeCell ref="A29:B29"/>
  </mergeCells>
  <drawing r:id="rId1"/>
  <legacyDrawing r:id="rId2"/>
  <picture r:id="rId4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14"/>
    <col collapsed="false" customWidth="true" hidden="false" max="6" min="6" style="0" width="14"/>
  </cols>
  <sheetData>
    <row customHeight="true" ht="111" r="1">
      <c r="A1" s="17" t="str">
        <v>半月政策</v>
      </c>
      <c r="B1" s="17"/>
      <c r="C1" s="17"/>
      <c r="D1" s="17"/>
      <c r="E1" s="17"/>
      <c r="F1" s="17"/>
      <c r="G1" s="17"/>
      <c r="H1" s="17"/>
      <c r="I1" s="18"/>
      <c r="J1" s="16" t="str" xml:space="preserve">
        <v>萨希  </v>
      </c>
    </row>
    <row r="2">
      <c r="A2" s="13" t="str">
        <v>水平</v>
      </c>
      <c r="B2" s="13" t="str">
        <v>钻石目标</v>
      </c>
      <c r="C2" s="13" t="str">
        <v>主播收到礼物钻石流水</v>
      </c>
      <c r="D2" s="13" t="str">
        <v>主播薪资$</v>
      </c>
      <c r="E2" s="13" t="str">
        <v>奖励钻石</v>
      </c>
      <c r="F2" s="13" t="str">
        <v>时长奖励$</v>
      </c>
      <c r="G2" s="14" t="str">
        <v>E-Day</v>
      </c>
      <c r="H2" s="14" t="str">
        <v>Hour</v>
      </c>
      <c r="I2" s="15" t="str">
        <v>30000 红钻 =1 美金</v>
      </c>
      <c r="J2" s="15"/>
    </row>
    <row r="3">
      <c r="A3" s="3">
        <v>1</v>
      </c>
      <c r="B3" s="6">
        <v>30000</v>
      </c>
      <c r="C3" s="6">
        <v>30000</v>
      </c>
      <c r="D3" s="24">
        <f>C3/30000</f>
      </c>
      <c r="E3" s="23">
        <f>F3*30000</f>
      </c>
      <c r="F3" s="25">
        <v>2</v>
      </c>
      <c r="G3" s="3">
        <v>3</v>
      </c>
      <c r="H3" s="3">
        <v>6</v>
      </c>
      <c r="I3" s="5" t="s">
        <v>2</v>
      </c>
      <c r="J3" s="5"/>
    </row>
    <row r="4">
      <c r="A4" s="3">
        <v>2</v>
      </c>
      <c r="B4" s="6">
        <v>75000</v>
      </c>
      <c r="C4" s="6">
        <v>75000</v>
      </c>
      <c r="D4" s="24">
        <f>C4/30000</f>
      </c>
      <c r="E4" s="23">
        <f>F4*30000</f>
      </c>
      <c r="F4" s="25">
        <v>3.5</v>
      </c>
      <c r="G4" s="3">
        <v>3</v>
      </c>
      <c r="H4" s="3">
        <v>6</v>
      </c>
      <c r="I4" s="5"/>
      <c r="J4" s="5"/>
    </row>
    <row r="5">
      <c r="A5" s="3">
        <v>3</v>
      </c>
      <c r="B5" s="6">
        <v>150000</v>
      </c>
      <c r="C5" s="6">
        <v>150000</v>
      </c>
      <c r="D5" s="24">
        <f>C5/30000</f>
      </c>
      <c r="E5" s="23">
        <f>F5*30000</f>
      </c>
      <c r="F5" s="25">
        <v>7.5</v>
      </c>
      <c r="G5" s="3">
        <v>3</v>
      </c>
      <c r="H5" s="3">
        <v>6</v>
      </c>
      <c r="I5" s="5"/>
      <c r="J5" s="5"/>
    </row>
    <row r="6">
      <c r="A6" s="3">
        <v>4</v>
      </c>
      <c r="B6" s="6">
        <v>240000</v>
      </c>
      <c r="C6" s="6">
        <v>240000</v>
      </c>
      <c r="D6" s="24">
        <f>C6/30000</f>
      </c>
      <c r="E6" s="23">
        <f>F6*30000</f>
      </c>
      <c r="F6" s="25">
        <v>11</v>
      </c>
      <c r="G6" s="3">
        <v>3</v>
      </c>
      <c r="H6" s="3">
        <v>6</v>
      </c>
      <c r="I6" s="5"/>
      <c r="J6" s="5"/>
    </row>
    <row r="7">
      <c r="A7" s="3">
        <v>5</v>
      </c>
      <c r="B7" s="6">
        <v>420000</v>
      </c>
      <c r="C7" s="6">
        <v>420000</v>
      </c>
      <c r="D7" s="24">
        <f>C7/30000</f>
      </c>
      <c r="E7" s="23">
        <f>F7*30000</f>
      </c>
      <c r="F7" s="25">
        <v>19</v>
      </c>
      <c r="G7" s="3">
        <v>3</v>
      </c>
      <c r="H7" s="3">
        <v>6</v>
      </c>
      <c r="I7" s="5"/>
      <c r="J7" s="5"/>
    </row>
    <row r="8">
      <c r="A8" s="3">
        <v>6</v>
      </c>
      <c r="B8" s="6">
        <v>600000</v>
      </c>
      <c r="C8" s="6">
        <v>600000</v>
      </c>
      <c r="D8" s="24">
        <f>C8/30000</f>
      </c>
      <c r="E8" s="23">
        <f>F8*30000</f>
      </c>
      <c r="F8" s="25">
        <v>27</v>
      </c>
      <c r="G8" s="3">
        <v>3</v>
      </c>
      <c r="H8" s="3">
        <v>6</v>
      </c>
      <c r="I8" s="5"/>
      <c r="J8" s="5"/>
    </row>
    <row r="9">
      <c r="A9" s="3">
        <v>7</v>
      </c>
      <c r="B9" s="6">
        <v>900000</v>
      </c>
      <c r="C9" s="6">
        <v>900000</v>
      </c>
      <c r="D9" s="24">
        <f>C9/30000</f>
      </c>
      <c r="E9" s="23">
        <f>F9*30000</f>
      </c>
      <c r="F9" s="25">
        <v>40.5</v>
      </c>
      <c r="G9" s="3">
        <v>3</v>
      </c>
      <c r="H9" s="3">
        <v>6</v>
      </c>
      <c r="I9" s="5"/>
      <c r="J9" s="5"/>
    </row>
    <row r="10">
      <c r="A10" s="3">
        <v>8</v>
      </c>
      <c r="B10" s="6">
        <v>1200000</v>
      </c>
      <c r="C10" s="6">
        <v>1200000</v>
      </c>
      <c r="D10" s="24">
        <f>C10/30000</f>
      </c>
      <c r="E10" s="23">
        <f>F10*30000</f>
      </c>
      <c r="F10" s="25">
        <v>54</v>
      </c>
      <c r="G10" s="3">
        <v>3</v>
      </c>
      <c r="H10" s="3">
        <v>6</v>
      </c>
      <c r="I10" s="5"/>
      <c r="J10" s="5"/>
    </row>
    <row r="11">
      <c r="A11" s="3">
        <v>9</v>
      </c>
      <c r="B11" s="6">
        <v>1800000</v>
      </c>
      <c r="C11" s="6">
        <v>1800000</v>
      </c>
      <c r="D11" s="24">
        <f>C11/30000</f>
      </c>
      <c r="E11" s="23">
        <f>F11*30000</f>
      </c>
      <c r="F11" s="25">
        <v>81.5</v>
      </c>
      <c r="G11" s="3">
        <v>3</v>
      </c>
      <c r="H11" s="3">
        <v>6</v>
      </c>
      <c r="I11" s="5"/>
      <c r="J11" s="5"/>
    </row>
    <row r="12">
      <c r="A12" s="3">
        <v>10</v>
      </c>
      <c r="B12" s="6">
        <v>2400000</v>
      </c>
      <c r="C12" s="6">
        <v>2400000</v>
      </c>
      <c r="D12" s="24">
        <f>C12/30000</f>
      </c>
      <c r="E12" s="23">
        <f>F12*30000</f>
      </c>
      <c r="F12" s="25">
        <v>108.5</v>
      </c>
      <c r="G12" s="3">
        <v>3</v>
      </c>
      <c r="H12" s="3">
        <v>6</v>
      </c>
      <c r="I12" s="5"/>
      <c r="J12" s="5"/>
    </row>
    <row r="13">
      <c r="A13" s="3">
        <v>11</v>
      </c>
      <c r="B13" s="6">
        <v>3600000</v>
      </c>
      <c r="C13" s="6">
        <v>3600000</v>
      </c>
      <c r="D13" s="24">
        <f>C13/30000</f>
      </c>
      <c r="E13" s="23">
        <f>F13*30000</f>
      </c>
      <c r="F13" s="25">
        <v>162.5</v>
      </c>
      <c r="G13" s="3">
        <v>3</v>
      </c>
      <c r="H13" s="3">
        <v>4</v>
      </c>
      <c r="I13" s="5"/>
      <c r="J13" s="5"/>
    </row>
    <row r="14">
      <c r="A14" s="3">
        <v>12</v>
      </c>
      <c r="B14" s="6">
        <v>4800000</v>
      </c>
      <c r="C14" s="6">
        <v>4800000</v>
      </c>
      <c r="D14" s="24">
        <f>C14/30000</f>
      </c>
      <c r="E14" s="23">
        <f>F14*30000</f>
      </c>
      <c r="F14" s="25">
        <v>217</v>
      </c>
      <c r="G14" s="3">
        <v>3</v>
      </c>
      <c r="H14" s="3">
        <v>4</v>
      </c>
      <c r="I14" s="5"/>
      <c r="J14" s="5"/>
    </row>
    <row r="15">
      <c r="A15" s="3">
        <v>13</v>
      </c>
      <c r="B15" s="6">
        <v>6000000</v>
      </c>
      <c r="C15" s="6">
        <v>6000000</v>
      </c>
      <c r="D15" s="24">
        <f>C15/30000</f>
      </c>
      <c r="E15" s="23">
        <f>F15*30000</f>
      </c>
      <c r="F15" s="25">
        <v>271</v>
      </c>
      <c r="G15" s="3">
        <v>3</v>
      </c>
      <c r="H15" s="3">
        <v>4</v>
      </c>
      <c r="I15" s="5"/>
      <c r="J15" s="5"/>
    </row>
    <row r="16">
      <c r="A16" s="3">
        <v>14</v>
      </c>
      <c r="B16" s="6">
        <v>9000000</v>
      </c>
      <c r="C16" s="6">
        <v>9000000</v>
      </c>
      <c r="D16" s="24">
        <f>C16/30000</f>
      </c>
      <c r="E16" s="23">
        <f>F16*30000</f>
      </c>
      <c r="F16" s="25">
        <v>406.5</v>
      </c>
      <c r="G16" s="3">
        <v>3</v>
      </c>
      <c r="H16" s="3">
        <v>4</v>
      </c>
      <c r="I16" s="5"/>
      <c r="J16" s="5"/>
    </row>
    <row r="17">
      <c r="A17" s="3">
        <v>15</v>
      </c>
      <c r="B17" s="6">
        <v>15000000</v>
      </c>
      <c r="C17" s="6">
        <v>15000000</v>
      </c>
      <c r="D17" s="24">
        <f>C17/30000</f>
      </c>
      <c r="E17" s="23">
        <f>F17*30000</f>
      </c>
      <c r="F17" s="25">
        <v>677.5</v>
      </c>
      <c r="G17" s="3">
        <v>3</v>
      </c>
      <c r="H17" s="3">
        <v>4</v>
      </c>
      <c r="I17" s="5"/>
      <c r="J17" s="5"/>
    </row>
    <row r="18">
      <c r="A18" s="3">
        <v>16</v>
      </c>
      <c r="B18" s="6">
        <v>18000000</v>
      </c>
      <c r="C18" s="6">
        <v>18000000</v>
      </c>
      <c r="D18" s="24">
        <f>C18/30000</f>
      </c>
      <c r="E18" s="23">
        <f>F18*30000</f>
      </c>
      <c r="F18" s="25">
        <v>802.5</v>
      </c>
      <c r="G18" s="3">
        <v>3</v>
      </c>
      <c r="H18" s="3">
        <v>4</v>
      </c>
      <c r="I18" s="5"/>
      <c r="J18" s="5"/>
    </row>
    <row r="19">
      <c r="A19" s="3">
        <v>17</v>
      </c>
      <c r="B19" s="6">
        <v>21000000</v>
      </c>
      <c r="C19" s="6">
        <v>21000000</v>
      </c>
      <c r="D19" s="24">
        <f>C19/30000</f>
      </c>
      <c r="E19" s="23">
        <f>F19*30000</f>
      </c>
      <c r="F19" s="25">
        <v>936</v>
      </c>
      <c r="G19" s="3">
        <v>3</v>
      </c>
      <c r="H19" s="3">
        <v>4</v>
      </c>
      <c r="I19" s="5"/>
      <c r="J19" s="5"/>
    </row>
    <row r="20">
      <c r="A20" s="3">
        <v>18</v>
      </c>
      <c r="B20" s="6">
        <v>30000000</v>
      </c>
      <c r="C20" s="6">
        <v>30000000</v>
      </c>
      <c r="D20" s="24">
        <f>C20/30000</f>
      </c>
      <c r="E20" s="23">
        <f>F20*30000</f>
      </c>
      <c r="F20" s="25">
        <v>1337.5</v>
      </c>
      <c r="G20" s="3">
        <v>0</v>
      </c>
      <c r="H20" s="3">
        <v>0</v>
      </c>
      <c r="I20" s="5"/>
      <c r="J20" s="5"/>
    </row>
    <row r="21">
      <c r="A21" s="3">
        <v>19</v>
      </c>
      <c r="B21" s="6">
        <v>45000000</v>
      </c>
      <c r="C21" s="6">
        <v>45000000</v>
      </c>
      <c r="D21" s="24">
        <f>C21/30000</f>
      </c>
      <c r="E21" s="23">
        <f>F21*30000</f>
      </c>
      <c r="F21" s="25">
        <v>2006</v>
      </c>
      <c r="G21" s="3">
        <v>0</v>
      </c>
      <c r="H21" s="3">
        <v>0</v>
      </c>
      <c r="I21" s="5"/>
      <c r="J21" s="5"/>
    </row>
    <row r="22">
      <c r="A22" s="3">
        <v>20</v>
      </c>
      <c r="B22" s="6">
        <v>60000000</v>
      </c>
      <c r="C22" s="6">
        <v>60000000</v>
      </c>
      <c r="D22" s="24">
        <f>C22/30000</f>
      </c>
      <c r="E22" s="23">
        <f>F22*30000</f>
      </c>
      <c r="F22" s="25">
        <v>2674.5</v>
      </c>
      <c r="G22" s="3">
        <v>0</v>
      </c>
      <c r="H22" s="3">
        <v>0</v>
      </c>
      <c r="I22" s="5"/>
      <c r="J22" s="5"/>
    </row>
    <row r="23">
      <c r="A23" s="3">
        <v>21</v>
      </c>
      <c r="B23" s="6">
        <v>75000000</v>
      </c>
      <c r="C23" s="6">
        <v>75000000</v>
      </c>
      <c r="D23" s="24">
        <f>C23/30000</f>
      </c>
      <c r="E23" s="23">
        <f>F23*30000</f>
      </c>
      <c r="F23" s="25">
        <v>3343.5</v>
      </c>
      <c r="G23" s="3">
        <v>0</v>
      </c>
      <c r="H23" s="3">
        <v>0</v>
      </c>
      <c r="I23" s="5"/>
      <c r="J23" s="5"/>
    </row>
    <row r="24">
      <c r="A24" s="3">
        <v>22</v>
      </c>
      <c r="B24" s="6">
        <v>90000000</v>
      </c>
      <c r="C24" s="6">
        <v>90000000</v>
      </c>
      <c r="D24" s="24">
        <f>C24/30000</f>
      </c>
      <c r="E24" s="23">
        <f>F24*30000</f>
      </c>
      <c r="F24" s="25">
        <v>4012</v>
      </c>
      <c r="G24" s="3">
        <v>0</v>
      </c>
      <c r="H24" s="3">
        <v>0</v>
      </c>
      <c r="I24" s="5"/>
      <c r="J24" s="5"/>
    </row>
    <row r="25">
      <c r="A25" s="3">
        <v>23</v>
      </c>
      <c r="B25" s="6">
        <v>120000000</v>
      </c>
      <c r="C25" s="6">
        <v>120000000</v>
      </c>
      <c r="D25" s="24">
        <f>C25/30000</f>
      </c>
      <c r="E25" s="23">
        <f>F25*30000</f>
      </c>
      <c r="F25" s="25">
        <v>5349.5</v>
      </c>
      <c r="G25" s="3">
        <v>0</v>
      </c>
      <c r="H25" s="3">
        <v>0</v>
      </c>
      <c r="I25" s="5"/>
      <c r="J25" s="5"/>
    </row>
    <row r="26">
      <c r="A26" s="3">
        <v>24</v>
      </c>
      <c r="B26" s="6">
        <v>150000000</v>
      </c>
      <c r="C26" s="6">
        <v>150000000</v>
      </c>
      <c r="D26" s="24">
        <f>C26/30000</f>
      </c>
      <c r="E26" s="23">
        <f>F26*30000</f>
      </c>
      <c r="F26" s="25">
        <v>6686.5</v>
      </c>
      <c r="G26" s="3">
        <v>0</v>
      </c>
      <c r="H26" s="3">
        <v>0</v>
      </c>
      <c r="I26" s="5"/>
      <c r="J26" s="5"/>
    </row>
    <row r="27">
      <c r="B27" s="1"/>
    </row>
    <row r="28">
      <c r="A28" s="19" t="str">
        <v>工会长薪资</v>
      </c>
      <c r="B28" s="1"/>
    </row>
    <row r="29">
      <c r="A29" s="21" t="str">
        <v>整个工会流水区间范围</v>
      </c>
      <c r="B29" s="21"/>
      <c r="C29" s="22" t="str">
        <v>返点</v>
      </c>
    </row>
    <row r="30">
      <c r="A30" s="20">
        <v>0</v>
      </c>
      <c r="B30" s="12">
        <v>1000000</v>
      </c>
      <c r="C30" s="11">
        <v>0.24</v>
      </c>
    </row>
    <row r="31">
      <c r="A31" s="9">
        <v>1000001</v>
      </c>
      <c r="B31" s="12">
        <v>5000000</v>
      </c>
      <c r="C31" s="11">
        <v>0.26</v>
      </c>
    </row>
    <row r="32">
      <c r="A32" s="9">
        <v>5000001</v>
      </c>
      <c r="B32" s="12">
        <v>10000000</v>
      </c>
      <c r="C32" s="11">
        <v>0.28</v>
      </c>
    </row>
    <row r="33">
      <c r="A33" s="9">
        <v>10000001</v>
      </c>
      <c r="B33" s="12">
        <v>25000001</v>
      </c>
      <c r="C33" s="11">
        <v>0.3</v>
      </c>
    </row>
    <row r="34">
      <c r="A34" s="9">
        <v>25000001</v>
      </c>
      <c r="B34" s="12">
        <v>50000000</v>
      </c>
      <c r="C34" s="11">
        <v>0.33</v>
      </c>
    </row>
    <row r="35">
      <c r="A35" s="9">
        <v>50000001</v>
      </c>
      <c r="B35" s="10" t="str">
        <v>-</v>
      </c>
      <c r="C35" s="11">
        <v>0.36</v>
      </c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</sheetData>
  <mergeCells>
    <mergeCell ref="A1:H1"/>
    <mergeCell ref="I2:J2"/>
    <mergeCell ref="I3:J26"/>
    <mergeCell ref="A29:B29"/>
  </mergeCells>
  <drawing r:id="rId1"/>
  <legacyDrawing r:id="rId2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0"/>
    <col collapsed="false" customWidth="true" hidden="false" max="3" min="3" style="0" width="23"/>
  </cols>
  <sheetData>
    <row r="1">
      <c r="A1" s="15" t="str">
        <v>17000 红钻 =1 美金</v>
      </c>
      <c r="B1" s="15"/>
      <c r="C1" s="19" t="str">
        <v>奖励红钻的计算方式为： 房间流水 *35%
房间流水在7000000 以下，需要要求周10小时工作时长
房间流水在7000000 及以上，不要求时长</v>
      </c>
    </row>
    <row r="2">
      <c r="A2" s="5" t="s">
        <v>3</v>
      </c>
      <c r="B2" s="5"/>
    </row>
    <row r="3">
      <c r="A3" s="5"/>
      <c r="B3" s="5"/>
    </row>
    <row r="4">
      <c r="A4" s="5"/>
      <c r="B4" s="5"/>
    </row>
    <row r="5">
      <c r="A5" s="5"/>
      <c r="B5" s="5"/>
      <c r="C5" s="28" t="str">
        <v>工会长薪资</v>
      </c>
      <c r="D5" s="28"/>
      <c r="E5" s="28"/>
    </row>
    <row r="6">
      <c r="A6" s="5"/>
      <c r="B6" s="5"/>
      <c r="C6" s="29" t="str">
        <v>Level</v>
      </c>
      <c r="D6" s="29" t="str">
        <v>Target</v>
      </c>
      <c r="E6" s="29" t="str">
        <v>Percentage</v>
      </c>
    </row>
    <row r="7">
      <c r="A7" s="5"/>
      <c r="B7" s="5"/>
      <c r="C7" s="26" t="str">
        <v>L1</v>
      </c>
      <c r="D7" s="26" t="str">
        <v>&lt;3,000,000</v>
      </c>
      <c r="E7" s="27">
        <v>0.08</v>
      </c>
    </row>
    <row r="8">
      <c r="A8" s="5"/>
      <c r="B8" s="5"/>
      <c r="C8" s="26" t="str">
        <v>L2</v>
      </c>
      <c r="D8" s="26" t="str">
        <v>&gt;=3,000,000</v>
      </c>
      <c r="E8" s="27">
        <v>0.1</v>
      </c>
    </row>
    <row r="9">
      <c r="A9" s="5"/>
      <c r="B9" s="5"/>
      <c r="C9" s="26" t="str">
        <v>L3</v>
      </c>
      <c r="D9" s="26" t="str">
        <v>&gt;=10,000,000</v>
      </c>
      <c r="E9" s="27">
        <v>0.12</v>
      </c>
    </row>
    <row r="10">
      <c r="A10" s="5"/>
      <c r="B10" s="5"/>
      <c r="C10" s="28"/>
      <c r="D10" s="28"/>
      <c r="E10" s="28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</sheetData>
  <mergeCells>
    <mergeCell ref="A2:B25"/>
    <mergeCell ref="A1:B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7"/>
  </cols>
  <sheetData>
    <row customHeight="true" ht="41" r="1">
      <c r="A1" s="31" t="str">
        <v>Sahi Turkey 2026年3月政策</v>
      </c>
      <c r="B1" s="31"/>
      <c r="C1" s="31"/>
      <c r="D1" s="31"/>
    </row>
    <row r="2">
      <c r="A2" s="28" t="str">
        <v>编号</v>
      </c>
      <c r="B2" s="28" t="str">
        <v>档位流水要求</v>
      </c>
      <c r="C2" s="28" t="str">
        <v>主播 钻石bonus</v>
      </c>
      <c r="D2" s="28" t="str">
        <v>公会长钻石bonus</v>
      </c>
    </row>
    <row r="3">
      <c r="A3">
        <v>1</v>
      </c>
      <c r="B3">
        <v>40000</v>
      </c>
      <c r="C3">
        <v>28000</v>
      </c>
      <c r="D3">
        <v>21000</v>
      </c>
      <c r="E3" s="30"/>
    </row>
    <row r="4">
      <c r="A4">
        <v>2</v>
      </c>
      <c r="B4">
        <v>110000</v>
      </c>
      <c r="C4">
        <v>66000</v>
      </c>
      <c r="D4">
        <v>54000</v>
      </c>
      <c r="E4" s="30"/>
    </row>
    <row r="5">
      <c r="A5">
        <v>3</v>
      </c>
      <c r="B5">
        <v>220000</v>
      </c>
      <c r="C5">
        <v>130000</v>
      </c>
      <c r="D5">
        <v>100000</v>
      </c>
      <c r="E5" s="30"/>
    </row>
    <row r="6">
      <c r="A6">
        <v>4</v>
      </c>
      <c r="B6">
        <v>360000</v>
      </c>
      <c r="C6">
        <v>210000</v>
      </c>
      <c r="D6">
        <v>170000</v>
      </c>
      <c r="E6" s="30"/>
    </row>
    <row r="7">
      <c r="A7">
        <v>5</v>
      </c>
      <c r="B7">
        <v>500000</v>
      </c>
      <c r="C7">
        <v>300000</v>
      </c>
      <c r="D7">
        <v>240000</v>
      </c>
      <c r="E7" s="30"/>
    </row>
    <row r="8">
      <c r="A8">
        <v>6</v>
      </c>
      <c r="B8">
        <v>660000</v>
      </c>
      <c r="C8">
        <v>440000</v>
      </c>
      <c r="D8">
        <v>350000</v>
      </c>
      <c r="E8" s="30"/>
    </row>
    <row r="9">
      <c r="A9">
        <v>7</v>
      </c>
      <c r="B9">
        <v>880000</v>
      </c>
      <c r="C9">
        <v>530000</v>
      </c>
      <c r="D9">
        <v>430000</v>
      </c>
      <c r="E9" s="30"/>
    </row>
    <row r="10">
      <c r="A10">
        <v>8</v>
      </c>
      <c r="B10">
        <v>1100000</v>
      </c>
      <c r="C10">
        <v>660000</v>
      </c>
      <c r="D10">
        <v>540000</v>
      </c>
      <c r="E10" s="30"/>
    </row>
    <row r="11">
      <c r="A11">
        <v>9</v>
      </c>
      <c r="B11">
        <v>1460000</v>
      </c>
      <c r="C11">
        <v>880000</v>
      </c>
      <c r="D11">
        <v>720000</v>
      </c>
      <c r="E11" s="30"/>
    </row>
    <row r="12">
      <c r="A12">
        <v>10</v>
      </c>
      <c r="B12">
        <v>2640000</v>
      </c>
      <c r="C12">
        <v>1699999.9999999998</v>
      </c>
      <c r="D12">
        <v>1400000</v>
      </c>
      <c r="E12" s="30"/>
    </row>
    <row r="13">
      <c r="A13">
        <v>11</v>
      </c>
      <c r="B13">
        <v>3300000</v>
      </c>
      <c r="C13">
        <v>1999999.9999999998</v>
      </c>
      <c r="D13">
        <v>1599999.9999999998</v>
      </c>
      <c r="E13" s="30"/>
    </row>
    <row r="14">
      <c r="A14">
        <v>12</v>
      </c>
      <c r="B14">
        <v>4400000</v>
      </c>
      <c r="C14">
        <v>2600000</v>
      </c>
      <c r="D14">
        <v>2100000</v>
      </c>
      <c r="E14" s="30"/>
    </row>
    <row r="15">
      <c r="A15">
        <v>13</v>
      </c>
      <c r="B15">
        <v>5860000</v>
      </c>
      <c r="C15">
        <v>3899999.9999999995</v>
      </c>
      <c r="D15">
        <v>3099999.9999999995</v>
      </c>
      <c r="E15" s="30"/>
    </row>
    <row r="16">
      <c r="A16">
        <v>14</v>
      </c>
      <c r="B16">
        <v>6900000</v>
      </c>
      <c r="C16">
        <v>4099999.9999999995</v>
      </c>
      <c r="D16">
        <v>3399999.9999999995</v>
      </c>
      <c r="E16" s="30"/>
    </row>
    <row r="17">
      <c r="A17">
        <v>15</v>
      </c>
      <c r="B17">
        <v>8000000</v>
      </c>
      <c r="C17">
        <v>4800000</v>
      </c>
      <c r="D17">
        <v>3899999.9999999995</v>
      </c>
      <c r="E17" s="30"/>
    </row>
    <row r="18">
      <c r="A18">
        <v>16</v>
      </c>
      <c r="B18">
        <v>11000000</v>
      </c>
      <c r="C18">
        <v>6599999.999999999</v>
      </c>
      <c r="D18">
        <v>5400000</v>
      </c>
      <c r="E18" s="30"/>
    </row>
    <row r="19">
      <c r="A19">
        <v>17</v>
      </c>
      <c r="B19">
        <v>14000000</v>
      </c>
      <c r="C19">
        <v>8500000</v>
      </c>
      <c r="D19">
        <v>6899999.999999999</v>
      </c>
      <c r="E19" s="30"/>
    </row>
    <row r="20">
      <c r="A20">
        <v>18</v>
      </c>
      <c r="B20">
        <v>18000000</v>
      </c>
      <c r="C20">
        <v>12000000</v>
      </c>
      <c r="D20">
        <v>9700000</v>
      </c>
      <c r="E20" s="30"/>
    </row>
    <row r="21">
      <c r="A21">
        <v>19</v>
      </c>
      <c r="B21">
        <v>25000000</v>
      </c>
      <c r="C21">
        <v>15000000</v>
      </c>
      <c r="D21">
        <v>12000000</v>
      </c>
      <c r="E21" s="30"/>
    </row>
    <row r="22">
      <c r="A22">
        <v>20</v>
      </c>
      <c r="B22">
        <v>36000000</v>
      </c>
      <c r="C22">
        <v>21000000</v>
      </c>
      <c r="D22">
        <v>17000000</v>
      </c>
      <c r="E22" s="30"/>
    </row>
    <row r="23">
      <c r="A23">
        <v>21</v>
      </c>
      <c r="B23">
        <v>51000000</v>
      </c>
      <c r="C23">
        <v>30000000</v>
      </c>
      <c r="D23">
        <v>25000000</v>
      </c>
      <c r="E23" s="30"/>
    </row>
    <row r="24">
      <c r="A24">
        <v>22</v>
      </c>
      <c r="B24">
        <v>66000000</v>
      </c>
      <c r="C24">
        <v>44000000</v>
      </c>
      <c r="D24">
        <v>35000000</v>
      </c>
      <c r="E24" s="30"/>
    </row>
    <row r="25">
      <c r="A25">
        <v>23</v>
      </c>
      <c r="B25">
        <v>88000000</v>
      </c>
      <c r="C25">
        <v>53000000</v>
      </c>
      <c r="D25">
        <v>43000000</v>
      </c>
      <c r="E25" s="30"/>
    </row>
    <row r="26">
      <c r="A26">
        <v>24</v>
      </c>
      <c r="B26">
        <v>110000000</v>
      </c>
      <c r="C26">
        <v>66000000</v>
      </c>
      <c r="D26">
        <v>54000000</v>
      </c>
      <c r="E26" s="30"/>
    </row>
    <row r="27">
      <c r="A27">
        <v>25</v>
      </c>
      <c r="B27">
        <v>145000000</v>
      </c>
      <c r="C27">
        <v>88000000</v>
      </c>
      <c r="D27">
        <v>71000000</v>
      </c>
      <c r="E27" s="30"/>
    </row>
    <row r="28">
      <c r="A28">
        <v>26</v>
      </c>
      <c r="B28">
        <v>180000000</v>
      </c>
      <c r="C28">
        <v>100000000</v>
      </c>
      <c r="D28">
        <v>89000000</v>
      </c>
      <c r="E28" s="30"/>
    </row>
    <row r="29">
      <c r="A29">
        <v>27</v>
      </c>
      <c r="B29">
        <v>220000000</v>
      </c>
      <c r="C29">
        <v>140000000</v>
      </c>
      <c r="D29">
        <v>110000000</v>
      </c>
      <c r="E29" s="30"/>
    </row>
    <row r="30">
      <c r="A30" s="19" t="str">
        <v>说明：
1. 23000钻石=1美金
2. 主播总薪资（USD）= （主播钻石余额+bonus）/ 23000
</v>
      </c>
      <c r="E30" s="30"/>
    </row>
  </sheetData>
  <mergeCells>
    <mergeCell ref="A1:D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4"/>
    <col collapsed="false" customWidth="true" hidden="false" max="5" min="5" style="0" width="17"/>
    <col collapsed="false" customWidth="true" hidden="false" max="12" min="12" style="0" width="14"/>
    <col collapsed="false" customWidth="true" hidden="false" max="15" min="15" style="0" width="14"/>
  </cols>
  <sheetData>
    <row customHeight="true" ht="20" r="1">
      <c r="A1" s="35" t="str">
        <v>备注：白色部分口径未改变 黄色部分为新增</v>
      </c>
      <c r="B1" s="35"/>
      <c r="C1" s="35"/>
      <c r="D1" s="33"/>
      <c r="E1" s="33"/>
      <c r="F1" s="33"/>
      <c r="G1" s="33"/>
    </row>
    <row customHeight="true" ht="20" r="2">
      <c r="A2" s="32" t="str">
        <v>Tab1主播薪资表 （不要包含已退会数据 和非本大区数据）</v>
      </c>
      <c r="B2" s="32"/>
      <c r="C2" s="32"/>
      <c r="D2" s="33"/>
      <c r="E2" s="33"/>
      <c r="F2" s="33"/>
      <c r="G2" s="33"/>
      <c r="H2" s="33"/>
      <c r="I2" s="33"/>
      <c r="J2" s="33"/>
      <c r="K2" s="33"/>
    </row>
    <row r="3">
      <c r="A3" s="36" t="str">
        <v>周期</v>
      </c>
      <c r="B3" s="36" t="str">
        <v>主播 uid</v>
      </c>
      <c r="C3" s="36" t="str">
        <v>主播 showid</v>
      </c>
      <c r="D3" s="36" t="str">
        <v>主播名称</v>
      </c>
      <c r="E3" s="38" t="str">
        <v>主播入驻公会时间(UTC+5.5)</v>
      </c>
      <c r="F3" s="36" t="str">
        <v>公会 id</v>
      </c>
      <c r="G3" s="36" t="str">
        <v>工会长 uid</v>
      </c>
      <c r="H3" s="36" t="str">
        <v>工会长 showid</v>
      </c>
      <c r="I3" s="36" t="str">
        <v>公会入驻时间(UTC+5.5)</v>
      </c>
      <c r="J3" s="36" t="str">
        <v>在麦时长(小时)</v>
      </c>
      <c r="K3" s="36" t="str">
        <v>在麦天数</v>
      </c>
      <c r="L3" s="36" t="str">
        <v>扣减比例</v>
      </c>
      <c r="M3" s="36" t="str">
        <v>房间流水</v>
      </c>
      <c r="N3" s="36" t="str">
        <v>红钻流水</v>
      </c>
      <c r="O3" s="37" t="str">
        <v>预期奖励红钻</v>
      </c>
      <c r="P3" s="37" t="str">
        <v>实际奖励红钻</v>
      </c>
      <c r="Q3" s="36" t="str">
        <v>身份</v>
      </c>
      <c r="R3" s="36" t="str">
        <v>首次成为主播时间(UTC+3)</v>
      </c>
      <c r="S3" s="36" t="str">
        <v>所属大区</v>
      </c>
      <c r="T3" s="34"/>
      <c r="U3" s="34"/>
      <c r="V3" s="34"/>
    </row>
    <row r="4">
      <c r="A4" s="32" t="str">
        <v>Tab2 已退回薪资表 （所有含已退会数据 和非本大区数据）</v>
      </c>
      <c r="B4" s="32"/>
      <c r="C4" s="32"/>
      <c r="E4" s="34"/>
    </row>
    <row r="5">
      <c r="A5" s="36" t="str">
        <v>周期</v>
      </c>
      <c r="B5" s="36" t="str">
        <v>主播 uid</v>
      </c>
      <c r="C5" s="36" t="str">
        <v>主播 showid</v>
      </c>
      <c r="D5" s="36" t="str">
        <v>主播名称</v>
      </c>
      <c r="E5" s="38" t="str">
        <v>主播入驻公会时间(UTC+5.5)</v>
      </c>
      <c r="F5" s="36" t="str">
        <v>公会 id</v>
      </c>
      <c r="G5" s="36" t="str">
        <v>工会长 uid</v>
      </c>
      <c r="H5" s="36" t="str">
        <v>工会长 showid</v>
      </c>
      <c r="I5" s="36" t="str">
        <v>公会入驻时间(UTC+5.5)</v>
      </c>
      <c r="J5" s="36" t="str">
        <v>在麦时长(小时)</v>
      </c>
      <c r="K5" s="36" t="str">
        <v>在麦天数</v>
      </c>
      <c r="L5" s="36" t="str">
        <v>扣减比例</v>
      </c>
      <c r="M5" s="36" t="str">
        <v>房间流水</v>
      </c>
      <c r="N5" s="36" t="str">
        <v>红钻流水</v>
      </c>
      <c r="O5" s="37" t="str">
        <v>预期奖励红钻</v>
      </c>
      <c r="P5" s="37" t="str">
        <v>实际奖励红钻</v>
      </c>
      <c r="Q5" s="36" t="str">
        <v>身份</v>
      </c>
      <c r="R5" s="36" t="str">
        <v>首次成为主播时间(UTC+3)</v>
      </c>
      <c r="S5" s="36" t="str">
        <v>所属大区</v>
      </c>
    </row>
    <row r="6">
      <c r="A6" s="32" t="str">
        <v>Tab3 工会薪资表 （所有含已退会数据 和非本大区数据）</v>
      </c>
      <c r="B6" s="32"/>
      <c r="C6" s="32"/>
    </row>
    <row r="7">
      <c r="A7" s="40" t="str">
        <v>周期</v>
      </c>
      <c r="B7" s="40" t="str">
        <v>公会 id</v>
      </c>
      <c r="C7" s="40" t="str">
        <v>工会长 uid</v>
      </c>
      <c r="D7" s="40" t="str">
        <v>工会长 showid</v>
      </c>
      <c r="E7" s="40" t="str">
        <v>公会入驻时间(UTC+5.5)</v>
      </c>
      <c r="F7" s="41" t="str">
        <v>主播人数（推表时刻还在工会内的主播人数）</v>
      </c>
      <c r="G7" s="41" t="str">
        <v>总流水（当周总礼物红钻收入 ，不算后台下发 不算乱七八糟 只算收礼）</v>
      </c>
      <c r="H7" s="41" t="str">
        <v>薪资档位对应分成比例</v>
      </c>
      <c r="I7" s="41" t="str" xml:space="preserve">
        <v>总红钻薪资 </v>
      </c>
      <c r="J7" s="39" t="str">
        <v>这个周期内达到发薪流水最低门槛的主播人数，(印尼是&gt;=30000红钻,中东是50000，南亚是17000），不包含退会</v>
      </c>
      <c r="K7" s="39" t="str">
        <v>达到&gt;=75,000 红钻流水的主播人数</v>
      </c>
      <c r="L7" s="39" t="str">
        <v>达到&gt;=150,000 红钻流水的主播人数</v>
      </c>
    </row>
    <row r="8"/>
    <row r="9"/>
    <row r="10"/>
    <row r="11">
      <c r="A11" s="28" t="str">
        <v>印尼表头</v>
      </c>
    </row>
    <row r="12">
      <c r="A12" s="33" t="str">
        <v>周期</v>
      </c>
      <c r="B12" s="33" t="str">
        <v>主播 uid</v>
      </c>
      <c r="C12" s="33" t="str">
        <v>主播 showid</v>
      </c>
      <c r="D12" s="33" t="str">
        <v>主播名称</v>
      </c>
      <c r="E12" s="33" t="str">
        <v>主播入驻公会时间(UTC+3)</v>
      </c>
      <c r="F12" s="33" t="str">
        <v>公会 id</v>
      </c>
      <c r="G12" s="33" t="str">
        <v>工会长 uid</v>
      </c>
      <c r="H12" s="33" t="str">
        <v>工会长 showid</v>
      </c>
      <c r="I12" s="33" t="str">
        <v>公会入驻时间(UTC+3)</v>
      </c>
      <c r="J12" s="33" t="str">
        <v>红钻收入(余额)</v>
      </c>
      <c r="K12" s="33" t="str">
        <v>待转结红钻</v>
      </c>
      <c r="L12" s="33" t="str">
        <v>待转结金币</v>
      </c>
      <c r="M12" s="33" t="str">
        <v>薪资档位</v>
      </c>
      <c r="N12" s="33" t="str">
        <v>预期薪资(美分)</v>
      </c>
      <c r="O12" s="33" t="str">
        <v>实际薪资(美分)</v>
      </c>
      <c r="P12" s="33" t="str">
        <v>公会长薪资(美分)</v>
      </c>
      <c r="Q12" s="33" t="str">
        <v>在麦时长(小时)</v>
      </c>
      <c r="R12" s="33" t="str">
        <v>在麦天数</v>
      </c>
      <c r="S12" s="33" t="str">
        <v>扣减比例</v>
      </c>
      <c r="T12" s="33" t="str">
        <v>备注</v>
      </c>
      <c r="U12" s="33" t="str">
        <v>身份</v>
      </c>
      <c r="V12" s="33" t="str">
        <v>首次成为主播时间(UTC+3)</v>
      </c>
      <c r="W12" s="33" t="str">
        <v>本周期新主播(本周期10/25后号加入)(按入驻工会时间)</v>
      </c>
      <c r="X12" s="33" t="str">
        <v>本周期baby主播(上周期10/25后号加入+本周期加入)(按首次成为主播时间)</v>
      </c>
      <c r="Y12" s="33" t="str">
        <v>上周期baby主播(上周期 10/25后号加入)(按首次成为主播时间)</v>
      </c>
      <c r="Z12" s="33" t="str">
        <v>工作要求比例</v>
      </c>
      <c r="AA12" s="33" t="str">
        <v>id</v>
      </c>
      <c r="AB12" s="33" t="str">
        <v>红钻收入(流水)</v>
      </c>
      <c r="AC12" s="33" t="str">
        <v>工会长薪资档位</v>
      </c>
      <c r="AD12" s="33" t="str">
        <v>所属大区</v>
      </c>
    </row>
    <row r="13"/>
    <row r="14">
      <c r="A14" s="19" t="str">
        <v>1. 删掉没用的，增加预期奖励和实际奖励数值</v>
      </c>
    </row>
    <row r="15">
      <c r="A15" s="19" t="str">
        <v>2. 把退会的和无公会信息的搞到另外的sheet</v>
      </c>
    </row>
    <row r="16">
      <c r="A16" s="19" t="str">
        <v>3. 薪资档位和数值和时长和天数全部调了</v>
      </c>
    </row>
    <row r="17">
      <c r="A17" s="19" t="str">
        <v>4. 新增公会长的表</v>
      </c>
    </row>
  </sheetData>
  <mergeCells>
    <mergeCell ref="A6:C6"/>
    <mergeCell ref="A4:C4"/>
    <mergeCell ref="A2:C2"/>
    <mergeCell ref="A1:C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